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ooper\Education\Classes\202601 Spring\CS401\Code\CS401_Blackjack\"/>
    </mc:Choice>
  </mc:AlternateContent>
  <xr:revisionPtr revIDLastSave="0" documentId="13_ncr:1_{905F08C2-8EAA-461B-BEAD-608859A917FA}" xr6:coauthVersionLast="47" xr6:coauthVersionMax="47" xr10:uidLastSave="{00000000-0000-0000-0000-000000000000}"/>
  <bookViews>
    <workbookView xWindow="-120" yWindow="-120" windowWidth="29040" windowHeight="15720" activeTab="2" xr2:uid="{DE0262C4-FE9D-4F25-BADD-B2B186F6EC17}"/>
  </bookViews>
  <sheets>
    <sheet name="Use case template" sheetId="1" r:id="rId1"/>
    <sheet name="Requirements copy" sheetId="3" r:id="rId2"/>
    <sheet name="Blake" sheetId="4" r:id="rId3"/>
    <sheet name="Nick" sheetId="5" r:id="rId4"/>
    <sheet name="Manny" sheetId="6" r:id="rId5"/>
    <sheet name="Pau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D2" i="3"/>
  <c r="B2" i="3"/>
  <c r="D1" i="3"/>
</calcChain>
</file>

<file path=xl/sharedStrings.xml><?xml version="1.0" encoding="utf-8"?>
<sst xmlns="http://schemas.openxmlformats.org/spreadsheetml/2006/main" count="200" uniqueCount="142">
  <si>
    <t>Use Case ID:</t>
  </si>
  <si>
    <t>Use Case Name:</t>
  </si>
  <si>
    <t>Relevant Requirements:</t>
  </si>
  <si>
    <t>Primary Actor:</t>
  </si>
  <si>
    <t>Pre-conditions:</t>
  </si>
  <si>
    <t>Post-conditions:</t>
  </si>
  <si>
    <t>Basic Flow or Main Scenario:</t>
  </si>
  <si>
    <t>Extensions or Alternate Flows:</t>
  </si>
  <si>
    <t>Exceptions:</t>
  </si>
  <si>
    <t>Related Use Cases:</t>
  </si>
  <si>
    <t>C03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</si>
  <si>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</si>
  <si>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</si>
  <si>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</si>
  <si>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</si>
  <si>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</si>
  <si>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</si>
  <si>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</si>
  <si>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</si>
  <si>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</si>
  <si>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</si>
  <si>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C04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</si>
  <si>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</si>
  <si>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</si>
  <si>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</si>
  <si>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</si>
  <si>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</si>
  <si>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</si>
  <si>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</si>
  <si>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</si>
  <si>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</si>
  <si>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</si>
  <si>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</si>
  <si>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lm-C01</t>
  </si>
  <si>
    <t>gm-C01</t>
  </si>
  <si>
    <t>gm-C02</t>
  </si>
  <si>
    <t>gm-C03</t>
  </si>
  <si>
    <t>gm-C04</t>
  </si>
  <si>
    <t>gm-C05</t>
  </si>
  <si>
    <t>gm-C06</t>
  </si>
  <si>
    <t>gm-C07</t>
  </si>
  <si>
    <t>gm-C08</t>
  </si>
  <si>
    <t>gm-C09</t>
  </si>
  <si>
    <t>gm-C10</t>
  </si>
  <si>
    <t>gm-C11</t>
  </si>
  <si>
    <t>gm-C12</t>
  </si>
  <si>
    <t>gm-C13</t>
  </si>
  <si>
    <t>gm-C14</t>
  </si>
  <si>
    <t>gm-C15</t>
  </si>
  <si>
    <t>gm-C16</t>
  </si>
  <si>
    <t>gm-C17</t>
  </si>
  <si>
    <t>gm-C18</t>
  </si>
  <si>
    <t>gm-C19</t>
  </si>
  <si>
    <t>gm-C20</t>
  </si>
  <si>
    <t>gm-C21</t>
  </si>
  <si>
    <t>gm-C22</t>
  </si>
  <si>
    <t>gm-C23</t>
  </si>
  <si>
    <t>gm-C24</t>
  </si>
  <si>
    <t>gm-C25</t>
  </si>
  <si>
    <t>nm-C01</t>
  </si>
  <si>
    <t>nm-C02</t>
  </si>
  <si>
    <t>nm-C03</t>
  </si>
  <si>
    <t>nm-C04</t>
  </si>
  <si>
    <t>nm-C05</t>
  </si>
  <si>
    <t>nm-C06</t>
  </si>
  <si>
    <t>nm-C07</t>
  </si>
  <si>
    <t>nm-C08</t>
  </si>
  <si>
    <t>nm-C09</t>
  </si>
  <si>
    <t>nm-C10</t>
  </si>
  <si>
    <t>nm-C11</t>
  </si>
  <si>
    <t>nm-C12</t>
  </si>
  <si>
    <t>nm-C13</t>
  </si>
  <si>
    <t>nm-C14</t>
  </si>
  <si>
    <t>nm-C15</t>
  </si>
  <si>
    <t>nm-C16</t>
  </si>
  <si>
    <t>nm-C17</t>
  </si>
  <si>
    <t>nm-C18</t>
  </si>
  <si>
    <t>nm-C19</t>
  </si>
  <si>
    <t>nm-C20</t>
  </si>
  <si>
    <t>nm-C21</t>
  </si>
  <si>
    <t>nm-C22</t>
  </si>
  <si>
    <t>nm-C23</t>
  </si>
  <si>
    <t>nm-C24</t>
  </si>
  <si>
    <t>nm-C25</t>
  </si>
  <si>
    <t>gui-C01</t>
  </si>
  <si>
    <t>gui-C02</t>
  </si>
  <si>
    <t>gui-C03</t>
  </si>
  <si>
    <t>gui-C04</t>
  </si>
  <si>
    <t>gui-C05</t>
  </si>
  <si>
    <t>gui-C06</t>
  </si>
  <si>
    <t>gui-C07</t>
  </si>
  <si>
    <t>gui-C08</t>
  </si>
  <si>
    <t>gui-C09</t>
  </si>
  <si>
    <t>gui-C10</t>
  </si>
  <si>
    <t>gui-C11</t>
  </si>
  <si>
    <t>gui-C12</t>
  </si>
  <si>
    <t>gui-C13</t>
  </si>
  <si>
    <t>gui-C14</t>
  </si>
  <si>
    <t>gui-C15</t>
  </si>
  <si>
    <t>gui-C16</t>
  </si>
  <si>
    <t>gui-C17</t>
  </si>
  <si>
    <t>gui-C18</t>
  </si>
  <si>
    <t>gui-C19</t>
  </si>
  <si>
    <t>gui-C20</t>
  </si>
  <si>
    <t>gui-C21</t>
  </si>
  <si>
    <t>gui-C22</t>
  </si>
  <si>
    <t>gui-C23</t>
  </si>
  <si>
    <t>gui-C24</t>
  </si>
  <si>
    <t>gui-C25</t>
  </si>
  <si>
    <t>usl-C01</t>
  </si>
  <si>
    <t>usl-C02</t>
  </si>
  <si>
    <t>usl-C03</t>
  </si>
  <si>
    <t>usl-C04</t>
  </si>
  <si>
    <t>usl-C05</t>
  </si>
  <si>
    <t>usl-C06</t>
  </si>
  <si>
    <t>usl-C07</t>
  </si>
  <si>
    <t>usl-C08</t>
  </si>
  <si>
    <t>usl-C09</t>
  </si>
  <si>
    <t>usl-C10</t>
  </si>
  <si>
    <t>usl-C11</t>
  </si>
  <si>
    <t>usl-C12</t>
  </si>
  <si>
    <t>usl-C13</t>
  </si>
  <si>
    <t>usl-C14</t>
  </si>
  <si>
    <t>usl-C15</t>
  </si>
  <si>
    <t>usl-C16</t>
  </si>
  <si>
    <t>usl-C17</t>
  </si>
  <si>
    <t>usl-C18</t>
  </si>
  <si>
    <t>usl-C19</t>
  </si>
  <si>
    <t>usl-C20</t>
  </si>
  <si>
    <t>usl-C21</t>
  </si>
  <si>
    <t>usl-C22</t>
  </si>
  <si>
    <t>usl-C23</t>
  </si>
  <si>
    <t>usl-C24</t>
  </si>
  <si>
    <t>usl-C25</t>
  </si>
  <si>
    <t>threading</t>
  </si>
  <si>
    <t>no pizza</t>
  </si>
  <si>
    <t>celery</t>
  </si>
  <si>
    <t>object over socket</t>
  </si>
  <si>
    <t>sycronized block</t>
  </si>
  <si>
    <t>server and client need singleton</t>
  </si>
  <si>
    <t>network threading</t>
  </si>
  <si>
    <t>something 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</si>
</sst>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7485-9F25-43BB-B4F6-7419700E9019}">
  <dimension ref="A1:J26"/>
  <sheetViews>
    <sheetView zoomScale="80" zoomScaleNormal="80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9" style="1" bestFit="1" customWidth="1"/>
    <col min="2" max="2" width="14" style="4" customWidth="1"/>
    <col min="3" max="3" width="13.85546875" style="3" bestFit="1" customWidth="1"/>
    <col min="4" max="4" width="10.28515625" style="1" bestFit="1" customWidth="1"/>
    <col min="5" max="5" width="29.42578125" style="4" customWidth="1"/>
    <col min="6" max="6" width="26.5703125" style="4" customWidth="1"/>
    <col min="7" max="7" width="43.7109375" style="3" customWidth="1"/>
    <col min="8" max="8" width="17" style="4" bestFit="1" customWidth="1"/>
    <col min="9" max="9" width="18.7109375" style="4" bestFit="1" customWidth="1"/>
    <col min="10" max="10" width="14.28515625" style="2" customWidth="1"/>
    <col min="11" max="16384" width="9.140625" style="3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1" t="s">
        <v>33</v>
      </c>
      <c r="B2" s="4" t="s">
        <v>141</v>
      </c>
      <c r="C2" s="1" t="s">
        <v>135</v>
      </c>
      <c r="D2" s="1" t="s">
        <v>136</v>
      </c>
      <c r="E2" s="1" t="s">
        <v>136</v>
      </c>
      <c r="F2" s="1" t="s">
        <v>136</v>
      </c>
      <c r="G2" s="1" t="s">
        <v>136</v>
      </c>
      <c r="H2" s="1" t="s">
        <v>136</v>
      </c>
      <c r="I2" s="1" t="s">
        <v>136</v>
      </c>
      <c r="J2" s="1" t="s">
        <v>136</v>
      </c>
    </row>
    <row r="3" spans="1:10" x14ac:dyDescent="0.25">
      <c r="A3" s="1" t="s">
        <v>34</v>
      </c>
      <c r="G3" s="4"/>
    </row>
    <row r="4" spans="1:10" x14ac:dyDescent="0.25">
      <c r="A4" s="1" t="s">
        <v>10</v>
      </c>
      <c r="G4" s="4"/>
    </row>
    <row r="5" spans="1:10" x14ac:dyDescent="0.25">
      <c r="A5" s="1" t="s">
        <v>21</v>
      </c>
      <c r="G5" s="4"/>
    </row>
    <row r="6" spans="1:10" x14ac:dyDescent="0.25">
      <c r="A6" s="1" t="s">
        <v>11</v>
      </c>
      <c r="G6" s="4"/>
    </row>
    <row r="7" spans="1:10" x14ac:dyDescent="0.25">
      <c r="A7" s="1" t="s">
        <v>12</v>
      </c>
      <c r="G7" s="4"/>
    </row>
    <row r="8" spans="1:10" x14ac:dyDescent="0.25">
      <c r="A8" s="1" t="s">
        <v>13</v>
      </c>
      <c r="G8" s="4"/>
    </row>
    <row r="9" spans="1:10" x14ac:dyDescent="0.25">
      <c r="A9" s="1" t="s">
        <v>14</v>
      </c>
      <c r="G9" s="4"/>
    </row>
    <row r="10" spans="1:10" x14ac:dyDescent="0.25">
      <c r="A10" s="1" t="s">
        <v>15</v>
      </c>
      <c r="G10" s="4"/>
    </row>
    <row r="11" spans="1:10" x14ac:dyDescent="0.25">
      <c r="A11" s="1" t="s">
        <v>16</v>
      </c>
      <c r="G11" s="4"/>
    </row>
    <row r="12" spans="1:10" x14ac:dyDescent="0.25">
      <c r="A12" s="1" t="s">
        <v>17</v>
      </c>
      <c r="G12" s="4"/>
    </row>
    <row r="13" spans="1:10" x14ac:dyDescent="0.25">
      <c r="A13" s="1" t="s">
        <v>18</v>
      </c>
      <c r="G13" s="4"/>
    </row>
    <row r="14" spans="1:10" x14ac:dyDescent="0.25">
      <c r="A14" s="1" t="s">
        <v>19</v>
      </c>
      <c r="G14" s="4"/>
    </row>
    <row r="15" spans="1:10" x14ac:dyDescent="0.25">
      <c r="A15" s="1" t="s">
        <v>20</v>
      </c>
      <c r="G15" s="4"/>
    </row>
    <row r="16" spans="1:10" x14ac:dyDescent="0.25">
      <c r="A16" s="1" t="s">
        <v>22</v>
      </c>
    </row>
    <row r="17" spans="1:1" x14ac:dyDescent="0.25">
      <c r="A17" s="1" t="s">
        <v>23</v>
      </c>
    </row>
    <row r="18" spans="1:1" x14ac:dyDescent="0.25">
      <c r="A18" s="1" t="s">
        <v>24</v>
      </c>
    </row>
    <row r="19" spans="1:1" x14ac:dyDescent="0.25">
      <c r="A19" s="1" t="s">
        <v>25</v>
      </c>
    </row>
    <row r="20" spans="1:1" x14ac:dyDescent="0.25">
      <c r="A20" s="1" t="s">
        <v>26</v>
      </c>
    </row>
    <row r="21" spans="1:1" x14ac:dyDescent="0.25">
      <c r="A21" s="1" t="s">
        <v>27</v>
      </c>
    </row>
    <row r="22" spans="1:1" x14ac:dyDescent="0.25">
      <c r="A22" s="1" t="s">
        <v>28</v>
      </c>
    </row>
    <row r="23" spans="1:1" x14ac:dyDescent="0.25">
      <c r="A23" s="1" t="s">
        <v>29</v>
      </c>
    </row>
    <row r="24" spans="1:1" x14ac:dyDescent="0.25">
      <c r="A24" s="1" t="s">
        <v>30</v>
      </c>
    </row>
    <row r="25" spans="1:1" x14ac:dyDescent="0.25">
      <c r="A25" s="1" t="s">
        <v>31</v>
      </c>
    </row>
    <row r="26" spans="1:1" x14ac:dyDescent="0.25">
      <c r="A26" s="1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961D-7B58-4983-BCD6-89D2296450F4}">
  <dimension ref="A1:F8"/>
  <sheetViews>
    <sheetView workbookViewId="0">
      <selection activeCell="J12" sqref="J12"/>
    </sheetView>
  </sheetViews>
  <sheetFormatPr defaultColWidth="28.140625" defaultRowHeight="15" x14ac:dyDescent="0.25"/>
  <cols>
    <col min="1" max="1" width="15.7109375" style="5" bestFit="1" customWidth="1"/>
    <col min="2" max="2" width="7.140625" bestFit="1" customWidth="1"/>
    <col min="3" max="3" width="17.85546875" bestFit="1" customWidth="1"/>
    <col min="4" max="4" width="21.28515625" customWidth="1"/>
  </cols>
  <sheetData>
    <row r="1" spans="1:6" ht="15" customHeight="1" x14ac:dyDescent="0.25">
      <c r="A1" s="10" t="s">
        <v>0</v>
      </c>
      <c r="B1" s="11" t="s">
        <v>33</v>
      </c>
      <c r="C1" s="12" t="s">
        <v>1</v>
      </c>
      <c r="D1" s="11" t="str">
        <f>_xlfn.XLOOKUP($B$1,'Use case template'!A:A,'Use case template'!B:B,"",0,1)</f>
        <v>something important</v>
      </c>
    </row>
    <row r="2" spans="1:6" ht="15" customHeight="1" x14ac:dyDescent="0.25">
      <c r="A2" s="10" t="s">
        <v>3</v>
      </c>
      <c r="B2" s="11" t="str">
        <f>_xlfn.XLOOKUP($B$1,'Use case template'!A:A,'Use case template'!D:D,"",0,1)</f>
        <v>celery</v>
      </c>
      <c r="C2" s="12" t="s">
        <v>9</v>
      </c>
      <c r="D2" s="11" t="str">
        <f>_xlfn.XLOOKUP($B$1,'Use case template'!A:A,'Use case template'!J:J,"",0,1)</f>
        <v>celery</v>
      </c>
      <c r="E2" s="1"/>
    </row>
    <row r="3" spans="1:6" ht="30" customHeight="1" x14ac:dyDescent="0.25">
      <c r="A3" s="9" t="s">
        <v>2</v>
      </c>
      <c r="B3" s="13" t="str">
        <f>IF(_xlfn.XLOOKUP($B$1,'Use case template'!A:A,'Use case template'!C:C,"",0,1)=0,"",_xlfn.XLOOKUP($B$1,'Use case template'!A:A,'Use case template'!C:C,"",0,1))</f>
        <v>no pizza</v>
      </c>
      <c r="C3" s="13"/>
      <c r="D3" s="13"/>
    </row>
    <row r="4" spans="1:6" s="6" customFormat="1" ht="30" customHeight="1" x14ac:dyDescent="0.25">
      <c r="A4" s="7" t="s">
        <v>4</v>
      </c>
      <c r="B4" s="14" t="str">
        <f>_xlfn.XLOOKUP($B$1,'Use case template'!A:A,'Use case template'!E:E,"",0,1)</f>
        <v>celery</v>
      </c>
      <c r="C4" s="14"/>
      <c r="D4" s="14"/>
      <c r="E4" s="8"/>
      <c r="F4" s="8"/>
    </row>
    <row r="5" spans="1:6" s="6" customFormat="1" ht="30" customHeight="1" x14ac:dyDescent="0.25">
      <c r="A5" s="7" t="s">
        <v>5</v>
      </c>
      <c r="B5" s="14" t="str">
        <f>_xlfn.XLOOKUP($B$1,'Use case template'!A:A,'Use case template'!F:F,"",0,1)</f>
        <v>celery</v>
      </c>
      <c r="C5" s="14"/>
      <c r="D5" s="14"/>
      <c r="E5" s="8"/>
      <c r="F5" s="8"/>
    </row>
    <row r="6" spans="1:6" s="6" customFormat="1" ht="45" customHeight="1" x14ac:dyDescent="0.25">
      <c r="A6" s="7" t="s">
        <v>6</v>
      </c>
      <c r="B6" s="14" t="str">
        <f>_xlfn.XLOOKUP($B$1,'Use case template'!A:A,'Use case template'!G:G,"",0,1)</f>
        <v>celery</v>
      </c>
      <c r="C6" s="14"/>
      <c r="D6" s="14"/>
      <c r="E6" s="8"/>
      <c r="F6" s="8"/>
    </row>
    <row r="7" spans="1:6" ht="30" customHeight="1" x14ac:dyDescent="0.25">
      <c r="A7" s="7" t="s">
        <v>7</v>
      </c>
      <c r="B7" s="13" t="str">
        <f>_xlfn.XLOOKUP($B$1,'Use case template'!A:A,'Use case template'!H:H,"",0,1)</f>
        <v>celery</v>
      </c>
      <c r="C7" s="13"/>
      <c r="D7" s="13"/>
    </row>
    <row r="8" spans="1:6" ht="15" customHeight="1" x14ac:dyDescent="0.25">
      <c r="A8" s="10" t="s">
        <v>8</v>
      </c>
      <c r="B8" s="13" t="str">
        <f>_xlfn.XLOOKUP($B$1,'Use case template'!A:A,'Use case template'!I:I,"",0,1)</f>
        <v>celery</v>
      </c>
      <c r="C8" s="13"/>
      <c r="D8" s="13"/>
    </row>
  </sheetData>
  <mergeCells count="6">
    <mergeCell ref="B8:D8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303C-A9D5-4728-85A1-B3B1654606BC}">
  <dimension ref="A1:J26"/>
  <sheetViews>
    <sheetView tabSelected="1" zoomScale="80" zoomScaleNormal="8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9" style="1" bestFit="1" customWidth="1"/>
    <col min="2" max="2" width="14" style="4" customWidth="1"/>
    <col min="3" max="3" width="13.85546875" style="3" bestFit="1" customWidth="1"/>
    <col min="4" max="4" width="10.28515625" style="1" bestFit="1" customWidth="1"/>
    <col min="5" max="5" width="29.42578125" style="4" customWidth="1"/>
    <col min="6" max="6" width="26.5703125" style="4" customWidth="1"/>
    <col min="7" max="7" width="43.7109375" style="3" customWidth="1"/>
    <col min="8" max="8" width="17" style="4" bestFit="1" customWidth="1"/>
    <col min="9" max="9" width="18.7109375" style="4" bestFit="1" customWidth="1"/>
    <col min="10" max="10" width="14.28515625" style="2" customWidth="1"/>
    <col min="11" max="16384" width="9.140625" style="3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109</v>
      </c>
      <c r="C2" s="1"/>
      <c r="G2" s="4"/>
    </row>
    <row r="3" spans="1:10" x14ac:dyDescent="0.25">
      <c r="A3" s="1" t="s">
        <v>110</v>
      </c>
      <c r="G3" s="4"/>
    </row>
    <row r="4" spans="1:10" x14ac:dyDescent="0.25">
      <c r="A4" s="1" t="s">
        <v>111</v>
      </c>
      <c r="G4" s="4"/>
    </row>
    <row r="5" spans="1:10" x14ac:dyDescent="0.25">
      <c r="A5" s="1" t="s">
        <v>112</v>
      </c>
      <c r="G5" s="4"/>
    </row>
    <row r="6" spans="1:10" x14ac:dyDescent="0.25">
      <c r="A6" s="1" t="s">
        <v>113</v>
      </c>
      <c r="G6" s="4"/>
    </row>
    <row r="7" spans="1:10" x14ac:dyDescent="0.25">
      <c r="A7" s="1" t="s">
        <v>114</v>
      </c>
      <c r="G7" s="4"/>
    </row>
    <row r="8" spans="1:10" x14ac:dyDescent="0.25">
      <c r="A8" s="1" t="s">
        <v>115</v>
      </c>
      <c r="G8" s="4"/>
    </row>
    <row r="9" spans="1:10" x14ac:dyDescent="0.25">
      <c r="A9" s="1" t="s">
        <v>116</v>
      </c>
      <c r="G9" s="4"/>
    </row>
    <row r="10" spans="1:10" x14ac:dyDescent="0.25">
      <c r="A10" s="1" t="s">
        <v>117</v>
      </c>
      <c r="G10" s="4"/>
    </row>
    <row r="11" spans="1:10" x14ac:dyDescent="0.25">
      <c r="A11" s="1" t="s">
        <v>118</v>
      </c>
      <c r="G11" s="4"/>
    </row>
    <row r="12" spans="1:10" x14ac:dyDescent="0.25">
      <c r="A12" s="1" t="s">
        <v>119</v>
      </c>
      <c r="G12" s="4"/>
    </row>
    <row r="13" spans="1:10" x14ac:dyDescent="0.25">
      <c r="A13" s="1" t="s">
        <v>120</v>
      </c>
      <c r="G13" s="4"/>
    </row>
    <row r="14" spans="1:10" x14ac:dyDescent="0.25">
      <c r="A14" s="1" t="s">
        <v>121</v>
      </c>
      <c r="G14" s="4"/>
    </row>
    <row r="15" spans="1:10" x14ac:dyDescent="0.25">
      <c r="A15" s="1" t="s">
        <v>122</v>
      </c>
      <c r="G15" s="4"/>
    </row>
    <row r="16" spans="1:10" x14ac:dyDescent="0.25">
      <c r="A16" s="1" t="s">
        <v>123</v>
      </c>
    </row>
    <row r="17" spans="1:1" x14ac:dyDescent="0.25">
      <c r="A17" s="1" t="s">
        <v>124</v>
      </c>
    </row>
    <row r="18" spans="1:1" x14ac:dyDescent="0.25">
      <c r="A18" s="1" t="s">
        <v>125</v>
      </c>
    </row>
    <row r="19" spans="1:1" x14ac:dyDescent="0.25">
      <c r="A19" s="1" t="s">
        <v>126</v>
      </c>
    </row>
    <row r="20" spans="1:1" x14ac:dyDescent="0.25">
      <c r="A20" s="1" t="s">
        <v>127</v>
      </c>
    </row>
    <row r="21" spans="1:1" x14ac:dyDescent="0.25">
      <c r="A21" s="1" t="s">
        <v>128</v>
      </c>
    </row>
    <row r="22" spans="1:1" x14ac:dyDescent="0.25">
      <c r="A22" s="1" t="s">
        <v>129</v>
      </c>
    </row>
    <row r="23" spans="1:1" x14ac:dyDescent="0.25">
      <c r="A23" s="1" t="s">
        <v>130</v>
      </c>
    </row>
    <row r="24" spans="1:1" x14ac:dyDescent="0.25">
      <c r="A24" s="1" t="s">
        <v>131</v>
      </c>
    </row>
    <row r="25" spans="1:1" x14ac:dyDescent="0.25">
      <c r="A25" s="1" t="s">
        <v>132</v>
      </c>
    </row>
    <row r="26" spans="1:1" x14ac:dyDescent="0.25">
      <c r="A26" s="1" t="s">
        <v>133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2618-10D4-4AC3-ACE9-FE527039EC52}">
  <dimension ref="A1:J26"/>
  <sheetViews>
    <sheetView zoomScale="80" zoomScaleNormal="80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9" style="1" bestFit="1" customWidth="1"/>
    <col min="2" max="2" width="14" style="4" customWidth="1"/>
    <col min="3" max="3" width="13.85546875" style="3" bestFit="1" customWidth="1"/>
    <col min="4" max="4" width="10.28515625" style="1" bestFit="1" customWidth="1"/>
    <col min="5" max="5" width="29.42578125" style="4" customWidth="1"/>
    <col min="6" max="6" width="26.5703125" style="4" customWidth="1"/>
    <col min="7" max="7" width="43.7109375" style="3" customWidth="1"/>
    <col min="8" max="8" width="17" style="4" bestFit="1" customWidth="1"/>
    <col min="9" max="9" width="18.7109375" style="4" bestFit="1" customWidth="1"/>
    <col min="10" max="10" width="14.28515625" style="2" customWidth="1"/>
    <col min="11" max="16384" width="9.140625" style="3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84</v>
      </c>
      <c r="C2" s="1"/>
      <c r="G2" s="4"/>
    </row>
    <row r="3" spans="1:10" x14ac:dyDescent="0.25">
      <c r="A3" s="1" t="s">
        <v>85</v>
      </c>
      <c r="G3" s="4"/>
    </row>
    <row r="4" spans="1:10" x14ac:dyDescent="0.25">
      <c r="A4" s="1" t="s">
        <v>86</v>
      </c>
      <c r="G4" s="4"/>
    </row>
    <row r="5" spans="1:10" x14ac:dyDescent="0.25">
      <c r="A5" s="1" t="s">
        <v>87</v>
      </c>
      <c r="G5" s="4"/>
    </row>
    <row r="6" spans="1:10" x14ac:dyDescent="0.25">
      <c r="A6" s="1" t="s">
        <v>88</v>
      </c>
      <c r="G6" s="4"/>
    </row>
    <row r="7" spans="1:10" x14ac:dyDescent="0.25">
      <c r="A7" s="1" t="s">
        <v>89</v>
      </c>
      <c r="G7" s="4"/>
    </row>
    <row r="8" spans="1:10" x14ac:dyDescent="0.25">
      <c r="A8" s="1" t="s">
        <v>90</v>
      </c>
      <c r="G8" s="4"/>
    </row>
    <row r="9" spans="1:10" x14ac:dyDescent="0.25">
      <c r="A9" s="1" t="s">
        <v>91</v>
      </c>
      <c r="G9" s="4"/>
    </row>
    <row r="10" spans="1:10" x14ac:dyDescent="0.25">
      <c r="A10" s="1" t="s">
        <v>92</v>
      </c>
      <c r="G10" s="4"/>
    </row>
    <row r="11" spans="1:10" x14ac:dyDescent="0.25">
      <c r="A11" s="1" t="s">
        <v>93</v>
      </c>
      <c r="G11" s="4"/>
    </row>
    <row r="12" spans="1:10" x14ac:dyDescent="0.25">
      <c r="A12" s="1" t="s">
        <v>94</v>
      </c>
      <c r="G12" s="4"/>
    </row>
    <row r="13" spans="1:10" x14ac:dyDescent="0.25">
      <c r="A13" s="1" t="s">
        <v>95</v>
      </c>
      <c r="G13" s="4"/>
    </row>
    <row r="14" spans="1:10" x14ac:dyDescent="0.25">
      <c r="A14" s="1" t="s">
        <v>96</v>
      </c>
      <c r="G14" s="4"/>
    </row>
    <row r="15" spans="1:10" x14ac:dyDescent="0.25">
      <c r="A15" s="1" t="s">
        <v>97</v>
      </c>
      <c r="G15" s="4"/>
    </row>
    <row r="16" spans="1:10" x14ac:dyDescent="0.25">
      <c r="A16" s="1" t="s">
        <v>98</v>
      </c>
    </row>
    <row r="17" spans="1:1" x14ac:dyDescent="0.25">
      <c r="A17" s="1" t="s">
        <v>99</v>
      </c>
    </row>
    <row r="18" spans="1:1" x14ac:dyDescent="0.25">
      <c r="A18" s="1" t="s">
        <v>100</v>
      </c>
    </row>
    <row r="19" spans="1:1" x14ac:dyDescent="0.25">
      <c r="A19" s="1" t="s">
        <v>101</v>
      </c>
    </row>
    <row r="20" spans="1:1" x14ac:dyDescent="0.25">
      <c r="A20" s="1" t="s">
        <v>102</v>
      </c>
    </row>
    <row r="21" spans="1:1" x14ac:dyDescent="0.25">
      <c r="A21" s="1" t="s">
        <v>103</v>
      </c>
    </row>
    <row r="22" spans="1:1" x14ac:dyDescent="0.25">
      <c r="A22" s="1" t="s">
        <v>104</v>
      </c>
    </row>
    <row r="23" spans="1:1" x14ac:dyDescent="0.25">
      <c r="A23" s="1" t="s">
        <v>105</v>
      </c>
    </row>
    <row r="24" spans="1:1" x14ac:dyDescent="0.25">
      <c r="A24" s="1" t="s">
        <v>106</v>
      </c>
    </row>
    <row r="25" spans="1:1" x14ac:dyDescent="0.25">
      <c r="A25" s="1" t="s">
        <v>107</v>
      </c>
    </row>
    <row r="26" spans="1:1" x14ac:dyDescent="0.25">
      <c r="A26" s="1" t="s">
        <v>108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9AA-42E4-4AD6-AE1A-F8BC73F53ED2}">
  <dimension ref="A1:J26"/>
  <sheetViews>
    <sheetView zoomScale="80" zoomScaleNormal="80" workbookViewId="0">
      <pane ySplit="1" topLeftCell="A2" activePane="bottomLeft" state="frozen"/>
      <selection pane="bottomLeft" activeCell="F38" sqref="F38"/>
    </sheetView>
  </sheetViews>
  <sheetFormatPr defaultRowHeight="15" x14ac:dyDescent="0.25"/>
  <cols>
    <col min="1" max="1" width="9" style="1" bestFit="1" customWidth="1"/>
    <col min="2" max="2" width="14" style="4" customWidth="1"/>
    <col min="3" max="3" width="13.85546875" style="3" bestFit="1" customWidth="1"/>
    <col min="4" max="4" width="10.28515625" style="1" bestFit="1" customWidth="1"/>
    <col min="5" max="5" width="29.42578125" style="4" customWidth="1"/>
    <col min="6" max="6" width="26.5703125" style="4" customWidth="1"/>
    <col min="7" max="7" width="43.7109375" style="3" customWidth="1"/>
    <col min="8" max="8" width="17" style="4" bestFit="1" customWidth="1"/>
    <col min="9" max="9" width="18.7109375" style="4" bestFit="1" customWidth="1"/>
    <col min="10" max="10" width="14.28515625" style="2" customWidth="1"/>
    <col min="11" max="16384" width="9.140625" style="3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34</v>
      </c>
      <c r="C2" s="1"/>
      <c r="G2" s="4"/>
    </row>
    <row r="3" spans="1:10" x14ac:dyDescent="0.25">
      <c r="A3" s="1" t="s">
        <v>35</v>
      </c>
      <c r="G3" s="4"/>
    </row>
    <row r="4" spans="1:10" x14ac:dyDescent="0.25">
      <c r="A4" s="1" t="s">
        <v>36</v>
      </c>
      <c r="G4" s="4"/>
    </row>
    <row r="5" spans="1:10" x14ac:dyDescent="0.25">
      <c r="A5" s="1" t="s">
        <v>37</v>
      </c>
      <c r="G5" s="4"/>
    </row>
    <row r="6" spans="1:10" x14ac:dyDescent="0.25">
      <c r="A6" s="1" t="s">
        <v>38</v>
      </c>
      <c r="G6" s="4"/>
    </row>
    <row r="7" spans="1:10" x14ac:dyDescent="0.25">
      <c r="A7" s="1" t="s">
        <v>39</v>
      </c>
      <c r="G7" s="4"/>
    </row>
    <row r="8" spans="1:10" x14ac:dyDescent="0.25">
      <c r="A8" s="1" t="s">
        <v>40</v>
      </c>
      <c r="G8" s="4"/>
    </row>
    <row r="9" spans="1:10" x14ac:dyDescent="0.25">
      <c r="A9" s="1" t="s">
        <v>41</v>
      </c>
      <c r="G9" s="4"/>
    </row>
    <row r="10" spans="1:10" x14ac:dyDescent="0.25">
      <c r="A10" s="1" t="s">
        <v>42</v>
      </c>
      <c r="G10" s="4"/>
    </row>
    <row r="11" spans="1:10" x14ac:dyDescent="0.25">
      <c r="A11" s="1" t="s">
        <v>43</v>
      </c>
      <c r="G11" s="4"/>
    </row>
    <row r="12" spans="1:10" x14ac:dyDescent="0.25">
      <c r="A12" s="1" t="s">
        <v>44</v>
      </c>
      <c r="G12" s="4"/>
    </row>
    <row r="13" spans="1:10" x14ac:dyDescent="0.25">
      <c r="A13" s="1" t="s">
        <v>45</v>
      </c>
      <c r="G13" s="4"/>
    </row>
    <row r="14" spans="1:10" x14ac:dyDescent="0.25">
      <c r="A14" s="1" t="s">
        <v>46</v>
      </c>
      <c r="G14" s="4"/>
    </row>
    <row r="15" spans="1:10" x14ac:dyDescent="0.25">
      <c r="A15" s="1" t="s">
        <v>47</v>
      </c>
      <c r="G15" s="4"/>
    </row>
    <row r="16" spans="1:10" x14ac:dyDescent="0.25">
      <c r="A16" s="1" t="s">
        <v>48</v>
      </c>
    </row>
    <row r="17" spans="1:1" x14ac:dyDescent="0.25">
      <c r="A17" s="1" t="s">
        <v>49</v>
      </c>
    </row>
    <row r="18" spans="1:1" x14ac:dyDescent="0.25">
      <c r="A18" s="1" t="s">
        <v>50</v>
      </c>
    </row>
    <row r="19" spans="1:1" x14ac:dyDescent="0.25">
      <c r="A19" s="1" t="s">
        <v>51</v>
      </c>
    </row>
    <row r="20" spans="1:1" x14ac:dyDescent="0.25">
      <c r="A20" s="1" t="s">
        <v>52</v>
      </c>
    </row>
    <row r="21" spans="1:1" x14ac:dyDescent="0.25">
      <c r="A21" s="1" t="s">
        <v>53</v>
      </c>
    </row>
    <row r="22" spans="1:1" x14ac:dyDescent="0.25">
      <c r="A22" s="1" t="s">
        <v>54</v>
      </c>
    </row>
    <row r="23" spans="1:1" x14ac:dyDescent="0.25">
      <c r="A23" s="1" t="s">
        <v>55</v>
      </c>
    </row>
    <row r="24" spans="1:1" x14ac:dyDescent="0.25">
      <c r="A24" s="1" t="s">
        <v>56</v>
      </c>
    </row>
    <row r="25" spans="1:1" x14ac:dyDescent="0.25">
      <c r="A25" s="1" t="s">
        <v>57</v>
      </c>
    </row>
    <row r="26" spans="1:1" x14ac:dyDescent="0.25">
      <c r="A26" s="1" t="s">
        <v>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FFA8-B913-4564-BF18-E7CEF911FE02}">
  <dimension ref="A1:J33"/>
  <sheetViews>
    <sheetView zoomScale="80" zoomScaleNormal="8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9" style="1" bestFit="1" customWidth="1"/>
    <col min="2" max="2" width="14" style="4" customWidth="1"/>
    <col min="3" max="3" width="13.85546875" style="3" bestFit="1" customWidth="1"/>
    <col min="4" max="4" width="10.28515625" style="1" bestFit="1" customWidth="1"/>
    <col min="5" max="5" width="29.42578125" style="4" customWidth="1"/>
    <col min="6" max="6" width="26.5703125" style="4" customWidth="1"/>
    <col min="7" max="7" width="43.7109375" style="3" customWidth="1"/>
    <col min="8" max="8" width="17" style="4" bestFit="1" customWidth="1"/>
    <col min="9" max="9" width="18.7109375" style="4" bestFit="1" customWidth="1"/>
    <col min="10" max="10" width="14.28515625" style="2" customWidth="1"/>
    <col min="11" max="16384" width="9.140625" style="3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59</v>
      </c>
      <c r="C2" s="1"/>
      <c r="G2" s="4"/>
    </row>
    <row r="3" spans="1:10" x14ac:dyDescent="0.25">
      <c r="A3" s="1" t="s">
        <v>60</v>
      </c>
      <c r="G3" s="4"/>
    </row>
    <row r="4" spans="1:10" x14ac:dyDescent="0.25">
      <c r="A4" s="1" t="s">
        <v>61</v>
      </c>
      <c r="G4" s="4"/>
    </row>
    <row r="5" spans="1:10" x14ac:dyDescent="0.25">
      <c r="A5" s="1" t="s">
        <v>62</v>
      </c>
      <c r="G5" s="4"/>
    </row>
    <row r="6" spans="1:10" x14ac:dyDescent="0.25">
      <c r="A6" s="1" t="s">
        <v>63</v>
      </c>
      <c r="G6" s="4"/>
    </row>
    <row r="7" spans="1:10" x14ac:dyDescent="0.25">
      <c r="A7" s="1" t="s">
        <v>64</v>
      </c>
      <c r="G7" s="4"/>
    </row>
    <row r="8" spans="1:10" x14ac:dyDescent="0.25">
      <c r="A8" s="1" t="s">
        <v>65</v>
      </c>
      <c r="G8" s="4"/>
    </row>
    <row r="9" spans="1:10" x14ac:dyDescent="0.25">
      <c r="A9" s="1" t="s">
        <v>66</v>
      </c>
      <c r="G9" s="4"/>
    </row>
    <row r="10" spans="1:10" x14ac:dyDescent="0.25">
      <c r="A10" s="1" t="s">
        <v>67</v>
      </c>
      <c r="G10" s="4"/>
    </row>
    <row r="11" spans="1:10" x14ac:dyDescent="0.25">
      <c r="A11" s="1" t="s">
        <v>68</v>
      </c>
      <c r="G11" s="4"/>
    </row>
    <row r="12" spans="1:10" x14ac:dyDescent="0.25">
      <c r="A12" s="1" t="s">
        <v>69</v>
      </c>
      <c r="G12" s="4"/>
    </row>
    <row r="13" spans="1:10" x14ac:dyDescent="0.25">
      <c r="A13" s="1" t="s">
        <v>70</v>
      </c>
      <c r="G13" s="4"/>
    </row>
    <row r="14" spans="1:10" x14ac:dyDescent="0.25">
      <c r="A14" s="1" t="s">
        <v>71</v>
      </c>
      <c r="G14" s="4"/>
    </row>
    <row r="15" spans="1:10" x14ac:dyDescent="0.25">
      <c r="A15" s="1" t="s">
        <v>72</v>
      </c>
      <c r="G15" s="4"/>
    </row>
    <row r="16" spans="1:10" x14ac:dyDescent="0.25">
      <c r="A16" s="1" t="s">
        <v>73</v>
      </c>
    </row>
    <row r="17" spans="1:4" x14ac:dyDescent="0.25">
      <c r="A17" s="1" t="s">
        <v>74</v>
      </c>
    </row>
    <row r="18" spans="1:4" x14ac:dyDescent="0.25">
      <c r="A18" s="1" t="s">
        <v>75</v>
      </c>
    </row>
    <row r="19" spans="1:4" x14ac:dyDescent="0.25">
      <c r="A19" s="1" t="s">
        <v>76</v>
      </c>
    </row>
    <row r="20" spans="1:4" x14ac:dyDescent="0.25">
      <c r="A20" s="1" t="s">
        <v>77</v>
      </c>
    </row>
    <row r="21" spans="1:4" x14ac:dyDescent="0.25">
      <c r="A21" s="1" t="s">
        <v>78</v>
      </c>
    </row>
    <row r="22" spans="1:4" x14ac:dyDescent="0.25">
      <c r="A22" s="1" t="s">
        <v>79</v>
      </c>
    </row>
    <row r="23" spans="1:4" x14ac:dyDescent="0.25">
      <c r="A23" s="1" t="s">
        <v>80</v>
      </c>
    </row>
    <row r="24" spans="1:4" x14ac:dyDescent="0.25">
      <c r="A24" s="1" t="s">
        <v>81</v>
      </c>
    </row>
    <row r="25" spans="1:4" x14ac:dyDescent="0.25">
      <c r="A25" s="1" t="s">
        <v>82</v>
      </c>
    </row>
    <row r="26" spans="1:4" x14ac:dyDescent="0.25">
      <c r="A26" s="1" t="s">
        <v>83</v>
      </c>
    </row>
    <row r="29" spans="1:4" x14ac:dyDescent="0.25">
      <c r="D29" s="1" t="s">
        <v>139</v>
      </c>
    </row>
    <row r="30" spans="1:4" x14ac:dyDescent="0.25">
      <c r="D30" s="1" t="s">
        <v>140</v>
      </c>
    </row>
    <row r="31" spans="1:4" x14ac:dyDescent="0.25">
      <c r="D31" s="1" t="s">
        <v>134</v>
      </c>
    </row>
    <row r="32" spans="1:4" x14ac:dyDescent="0.25">
      <c r="D32" s="1" t="s">
        <v>138</v>
      </c>
    </row>
    <row r="33" spans="4:4" x14ac:dyDescent="0.25">
      <c r="D33" s="1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 case template</vt:lpstr>
      <vt:lpstr>Requirements copy</vt:lpstr>
      <vt:lpstr>Blake</vt:lpstr>
      <vt:lpstr>Nick</vt:lpstr>
      <vt:lpstr>Manny</vt:lpstr>
      <vt:lpstr>Paul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Cooper</dc:creator>
  <cp:lastModifiedBy>Paul Cooper</cp:lastModifiedBy>
  <dcterms:created xsi:type="dcterms:W3CDTF">2026-02-11T22:12:50Z</dcterms:created>
  <dcterms:modified xsi:type="dcterms:W3CDTF">2026-03-02T22:52:19Z</dcterms:modified>
</cp:coreProperties>
</file>