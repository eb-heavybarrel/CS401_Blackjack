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ooper\Education\Classes\202601 Spring\CS401\Code\CS401_Blackjack\"/>
    </mc:Choice>
  </mc:AlternateContent>
  <xr:revisionPtr revIDLastSave="0" documentId="8_{C16DC788-3386-47C5-9448-C7F098BC8595}" xr6:coauthVersionLast="47" xr6:coauthVersionMax="47" xr10:uidLastSave="{00000000-0000-0000-0000-000000000000}"/>
  <bookViews>
    <workbookView xWindow="-120" yWindow="-120" windowWidth="29040" windowHeight="15720" xr2:uid="{DE0262C4-FE9D-4F25-BADD-B2B186F6EC17}"/>
  </bookViews>
  <sheets>
    <sheet name="Use case" sheetId="1" r:id="rId1"/>
    <sheet name="Sheet3" sheetId="3" r:id="rId2"/>
    <sheet name="Permiss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1" i="3"/>
  <c r="B3" i="3"/>
  <c r="D2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<sst xmlns="http://schemas.openxmlformats.org/spreadsheetml/2006/main" count="122" uniqueCount="70">
  <si>
    <t>Use Case ID:</t>
  </si>
  <si>
    <t>Use Case Name:</t>
  </si>
  <si>
    <t>Relevant Requirements:</t>
  </si>
  <si>
    <t>Primary Actor:</t>
  </si>
  <si>
    <t>Pre-conditions:</t>
  </si>
  <si>
    <t>Post-conditions:</t>
  </si>
  <si>
    <t>Basic Flow or Main Scenario:</t>
  </si>
  <si>
    <t>Extensions or Alternate Flows:</t>
  </si>
  <si>
    <t>Exceptions:</t>
  </si>
  <si>
    <t>Related Use Cases:</t>
  </si>
  <si>
    <t>C03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</si>
  <si>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</si>
  <si>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</si>
  <si>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</si>
  <si>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</si>
  <si>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</si>
  <si>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</si>
  <si>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</si>
  <si>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</si>
  <si>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</si>
  <si>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</si>
  <si>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HWS</t>
  </si>
  <si>
    <t>LWS</t>
  </si>
  <si>
    <t>MS</t>
  </si>
  <si>
    <t>Operator</t>
  </si>
  <si>
    <t>Supervisor</t>
  </si>
  <si>
    <t>C04</t>
  </si>
  <si>
    <t>Pump</t>
  </si>
  <si>
    <t>view logs</t>
  </si>
  <si>
    <t>methane</t>
  </si>
  <si>
    <t>pump</t>
  </si>
  <si>
    <t>1 day</t>
  </si>
  <si>
    <t>30 days</t>
  </si>
  <si>
    <t>device</t>
  </si>
  <si>
    <t>time frame</t>
  </si>
  <si>
    <t>log events</t>
  </si>
  <si>
    <t>levels</t>
  </si>
  <si>
    <t>alarm</t>
  </si>
  <si>
    <t>on</t>
  </si>
  <si>
    <t>off</t>
  </si>
  <si>
    <t>Role</t>
  </si>
  <si>
    <t>above</t>
  </si>
  <si>
    <t>below</t>
  </si>
  <si>
    <t>level</t>
  </si>
  <si>
    <t>high</t>
  </si>
  <si>
    <t>low</t>
  </si>
  <si>
    <t>X</t>
  </si>
  <si>
    <t>add notes</t>
  </si>
  <si>
    <t>T</t>
  </si>
  <si>
    <t>A</t>
  </si>
  <si>
    <t>reset automation</t>
  </si>
  <si>
    <t>Triggered</t>
  </si>
  <si>
    <t>Permission</t>
  </si>
  <si>
    <t>alarm on</t>
  </si>
  <si>
    <t>O</t>
  </si>
  <si>
    <t>X=permission granted, T=Permission granted and event triggers log entry, O=Overide triggered, A=Automatic system event logged (permission not required)</t>
  </si>
  <si>
    <t>c04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</si>
  <si>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</si>
  <si>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</si>
  <si>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</si>
  <si>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</si>
  <si>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</si>
  <si>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</si>
  <si>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</si>
  <si>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</si>
  <si>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</si>
  <si>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</si>
  <si>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</si>
  <si>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lm-C01</t>
  </si>
  <si>
    <t>gm-C01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</si>
</sst>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gradientFill>
        <stop position="0">
          <color theme="4" tint="0.59999389629810485"/>
        </stop>
        <stop position="1">
          <color theme="6" tint="0.40000610370189521"/>
        </stop>
      </gradient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1" xfId="0" applyBorder="1" applyAlignment="1">
      <alignment horizontal="left"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3" borderId="17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7485-9F25-43BB-B4F6-7419700E9019}">
  <dimension ref="A1:J26"/>
  <sheetViews>
    <sheetView tabSelected="1" zoomScale="80" zoomScaleNormal="80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9" style="1" bestFit="1" customWidth="1"/>
    <col min="2" max="2" width="14" style="4" customWidth="1"/>
    <col min="3" max="3" width="13.85546875" style="3" bestFit="1" customWidth="1"/>
    <col min="4" max="4" width="10.28515625" style="1" bestFit="1" customWidth="1"/>
    <col min="5" max="5" width="29.42578125" style="4" customWidth="1"/>
    <col min="6" max="6" width="26.5703125" style="4" customWidth="1"/>
    <col min="7" max="7" width="43.7109375" style="3" customWidth="1"/>
    <col min="8" max="8" width="17" style="4" bestFit="1" customWidth="1"/>
    <col min="9" max="9" width="18.7109375" style="4" bestFit="1" customWidth="1"/>
    <col min="10" max="10" width="14.28515625" style="2" customWidth="1"/>
    <col min="11" max="16384" width="9.140625" style="3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68</v>
      </c>
      <c r="C2" s="1"/>
      <c r="G2" s="4"/>
    </row>
    <row r="3" spans="1:10" x14ac:dyDescent="0.25">
      <c r="A3" s="1" t="s">
        <v>69</v>
      </c>
      <c r="G3" s="4"/>
    </row>
    <row r="4" spans="1:10" x14ac:dyDescent="0.25">
      <c r="A4" s="1" t="s">
        <v>10</v>
      </c>
      <c r="G4" s="4"/>
    </row>
    <row r="5" spans="1:10" x14ac:dyDescent="0.25">
      <c r="A5" s="1" t="s">
        <v>26</v>
      </c>
      <c r="G5" s="4"/>
    </row>
    <row r="6" spans="1:10" x14ac:dyDescent="0.25">
      <c r="A6" s="1" t="s">
        <v>11</v>
      </c>
      <c r="G6" s="4"/>
    </row>
    <row r="7" spans="1:10" x14ac:dyDescent="0.25">
      <c r="A7" s="1" t="s">
        <v>12</v>
      </c>
      <c r="G7" s="4"/>
    </row>
    <row r="8" spans="1:10" x14ac:dyDescent="0.25">
      <c r="A8" s="1" t="s">
        <v>13</v>
      </c>
      <c r="G8" s="4"/>
    </row>
    <row r="9" spans="1:10" x14ac:dyDescent="0.25">
      <c r="A9" s="1" t="s">
        <v>14</v>
      </c>
      <c r="G9" s="4"/>
    </row>
    <row r="10" spans="1:10" x14ac:dyDescent="0.25">
      <c r="A10" s="1" t="s">
        <v>15</v>
      </c>
      <c r="G10" s="4"/>
    </row>
    <row r="11" spans="1:10" x14ac:dyDescent="0.25">
      <c r="A11" s="1" t="s">
        <v>16</v>
      </c>
      <c r="G11" s="4"/>
    </row>
    <row r="12" spans="1:10" x14ac:dyDescent="0.25">
      <c r="A12" s="1" t="s">
        <v>17</v>
      </c>
      <c r="G12" s="4"/>
    </row>
    <row r="13" spans="1:10" x14ac:dyDescent="0.25">
      <c r="A13" s="1" t="s">
        <v>18</v>
      </c>
      <c r="G13" s="4"/>
    </row>
    <row r="14" spans="1:10" x14ac:dyDescent="0.25">
      <c r="A14" s="1" t="s">
        <v>19</v>
      </c>
      <c r="G14" s="4"/>
    </row>
    <row r="15" spans="1:10" x14ac:dyDescent="0.25">
      <c r="A15" s="1" t="s">
        <v>20</v>
      </c>
      <c r="G15" s="4"/>
    </row>
    <row r="16" spans="1:10" x14ac:dyDescent="0.25">
      <c r="A16" s="1" t="s">
        <v>57</v>
      </c>
    </row>
    <row r="17" spans="1:1" x14ac:dyDescent="0.25">
      <c r="A17" s="1" t="s">
        <v>58</v>
      </c>
    </row>
    <row r="18" spans="1:1" x14ac:dyDescent="0.25">
      <c r="A18" s="1" t="s">
        <v>59</v>
      </c>
    </row>
    <row r="19" spans="1:1" x14ac:dyDescent="0.25">
      <c r="A19" s="1" t="s">
        <v>60</v>
      </c>
    </row>
    <row r="20" spans="1:1" x14ac:dyDescent="0.25">
      <c r="A20" s="1" t="s">
        <v>61</v>
      </c>
    </row>
    <row r="21" spans="1:1" x14ac:dyDescent="0.25">
      <c r="A21" s="1" t="s">
        <v>62</v>
      </c>
    </row>
    <row r="22" spans="1:1" x14ac:dyDescent="0.25">
      <c r="A22" s="1" t="s">
        <v>63</v>
      </c>
    </row>
    <row r="23" spans="1:1" x14ac:dyDescent="0.25">
      <c r="A23" s="1" t="s">
        <v>64</v>
      </c>
    </row>
    <row r="24" spans="1:1" x14ac:dyDescent="0.25">
      <c r="A24" s="1" t="s">
        <v>65</v>
      </c>
    </row>
    <row r="25" spans="1:1" x14ac:dyDescent="0.25">
      <c r="A25" s="1" t="s">
        <v>66</v>
      </c>
    </row>
    <row r="26" spans="1:1" x14ac:dyDescent="0.25">
      <c r="A26" s="1" t="s">
        <v>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961D-7B58-4983-BCD6-89D2296450F4}">
  <dimension ref="A1:F8"/>
  <sheetViews>
    <sheetView workbookViewId="0">
      <selection activeCell="B2" sqref="B2"/>
    </sheetView>
  </sheetViews>
  <sheetFormatPr defaultColWidth="28.140625" defaultRowHeight="15" x14ac:dyDescent="0.25"/>
  <cols>
    <col min="1" max="1" width="16" style="5" customWidth="1"/>
    <col min="2" max="2" width="5" bestFit="1" customWidth="1"/>
    <col min="3" max="3" width="17.85546875" bestFit="1" customWidth="1"/>
    <col min="4" max="4" width="21.28515625" customWidth="1"/>
  </cols>
  <sheetData>
    <row r="1" spans="1:6" ht="15" customHeight="1" x14ac:dyDescent="0.25">
      <c r="A1" s="37" t="s">
        <v>0</v>
      </c>
      <c r="B1" s="38" t="s">
        <v>56</v>
      </c>
      <c r="C1" s="33" t="s">
        <v>1</v>
      </c>
      <c r="D1" s="38">
        <f>_xlfn.XLOOKUP($B$1,'Use case'!A:A,'Use case'!B:B,"",0,2)</f>
        <v>0</v>
      </c>
    </row>
    <row r="2" spans="1:6" ht="15" customHeight="1" x14ac:dyDescent="0.25">
      <c r="A2" s="37" t="s">
        <v>3</v>
      </c>
      <c r="B2" s="38">
        <f>_xlfn.XLOOKUP($B$1,'Use case'!A:A,'Use case'!D:D,"",0,2)</f>
        <v>0</v>
      </c>
      <c r="C2" s="33" t="s">
        <v>9</v>
      </c>
      <c r="D2" s="38">
        <f>_xlfn.XLOOKUP($B$1,'Use case'!A:A,'Use case'!J:J,"",0,2)</f>
        <v>0</v>
      </c>
      <c r="E2" s="1"/>
    </row>
    <row r="3" spans="1:6" ht="30" customHeight="1" x14ac:dyDescent="0.25">
      <c r="A3" s="36" t="s">
        <v>2</v>
      </c>
      <c r="B3" s="39" t="str">
        <f>IF(_xlfn.XLOOKUP($B$1,'Use case'!A:A,'Use case'!C:C,"",0,2)=0,"",_xlfn.XLOOKUP($B$1,'Use case'!A:A,'Use case'!C:C,"",0,2))</f>
        <v/>
      </c>
      <c r="C3" s="39"/>
      <c r="D3" s="39"/>
    </row>
    <row r="4" spans="1:6" s="7" customFormat="1" ht="30" customHeight="1" x14ac:dyDescent="0.25">
      <c r="A4" s="34" t="s">
        <v>4</v>
      </c>
      <c r="B4" s="40">
        <f>_xlfn.XLOOKUP($B$1,'Use case'!A:A,'Use case'!E:E,"",0,2)</f>
        <v>0</v>
      </c>
      <c r="C4" s="40"/>
      <c r="D4" s="40"/>
      <c r="E4" s="35"/>
      <c r="F4" s="35"/>
    </row>
    <row r="5" spans="1:6" s="7" customFormat="1" ht="30" customHeight="1" x14ac:dyDescent="0.25">
      <c r="A5" s="34" t="s">
        <v>5</v>
      </c>
      <c r="B5" s="40">
        <f>_xlfn.XLOOKUP($B$1,'Use case'!A:A,'Use case'!F:F,"",0,2)</f>
        <v>0</v>
      </c>
      <c r="C5" s="40"/>
      <c r="D5" s="40"/>
      <c r="E5" s="35"/>
      <c r="F5" s="35"/>
    </row>
    <row r="6" spans="1:6" s="7" customFormat="1" ht="45" customHeight="1" x14ac:dyDescent="0.25">
      <c r="A6" s="34" t="s">
        <v>6</v>
      </c>
      <c r="B6" s="40">
        <f>_xlfn.XLOOKUP($B$1,'Use case'!A:A,'Use case'!G:G,"",0,2)</f>
        <v>0</v>
      </c>
      <c r="C6" s="40"/>
      <c r="D6" s="40"/>
      <c r="E6" s="35"/>
      <c r="F6" s="35"/>
    </row>
    <row r="7" spans="1:6" ht="30" customHeight="1" x14ac:dyDescent="0.25">
      <c r="A7" s="34" t="s">
        <v>7</v>
      </c>
      <c r="B7" s="39">
        <f>_xlfn.XLOOKUP($B$1,'Use case'!A:A,'Use case'!H:H,"",0,2)</f>
        <v>0</v>
      </c>
      <c r="C7" s="39"/>
      <c r="D7" s="39"/>
    </row>
    <row r="8" spans="1:6" ht="15" customHeight="1" x14ac:dyDescent="0.25">
      <c r="A8" s="37" t="s">
        <v>8</v>
      </c>
      <c r="B8" s="39">
        <f>_xlfn.XLOOKUP($B$1,'Use case'!A:A,'Use case'!I:I,"",0,2)</f>
        <v>0</v>
      </c>
      <c r="C8" s="39"/>
      <c r="D8" s="39"/>
    </row>
  </sheetData>
  <mergeCells count="6">
    <mergeCell ref="B8:D8"/>
    <mergeCell ref="B3:D3"/>
    <mergeCell ref="B4:D4"/>
    <mergeCell ref="B5:D5"/>
    <mergeCell ref="B6:D6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3D20-8630-452B-8101-D82FCA631AE2}">
  <dimension ref="A1:S11"/>
  <sheetViews>
    <sheetView workbookViewId="0">
      <selection activeCell="A11" sqref="A11:S11"/>
    </sheetView>
  </sheetViews>
  <sheetFormatPr defaultRowHeight="15" x14ac:dyDescent="0.25"/>
  <cols>
    <col min="1" max="1" width="10.28515625" style="6" bestFit="1" customWidth="1"/>
    <col min="2" max="6" width="6.28515625" style="6" bestFit="1" customWidth="1"/>
    <col min="7" max="7" width="3.28515625" style="6" customWidth="1"/>
    <col min="8" max="8" width="3.28515625" style="6" bestFit="1" customWidth="1"/>
    <col min="9" max="9" width="12" style="6" customWidth="1"/>
    <col min="10" max="10" width="8.7109375" style="6" bestFit="1" customWidth="1"/>
    <col min="11" max="11" width="6.140625" style="6" bestFit="1" customWidth="1"/>
    <col min="12" max="12" width="6.28515625" style="6" bestFit="1" customWidth="1"/>
    <col min="13" max="13" width="5.5703125" style="6" bestFit="1" customWidth="1"/>
    <col min="14" max="14" width="7.5703125" style="6" bestFit="1" customWidth="1"/>
    <col min="15" max="15" width="9.7109375" style="6" bestFit="1" customWidth="1"/>
    <col min="16" max="16" width="6" style="6" bestFit="1" customWidth="1"/>
    <col min="17" max="17" width="6.28515625" style="6" bestFit="1" customWidth="1"/>
    <col min="18" max="19" width="3.28515625" style="6" bestFit="1" customWidth="1"/>
    <col min="20" max="16384" width="9.140625" style="6"/>
  </cols>
  <sheetData>
    <row r="1" spans="1:19" ht="15.75" thickTop="1" x14ac:dyDescent="0.25">
      <c r="A1" s="59" t="s">
        <v>40</v>
      </c>
      <c r="B1" s="51" t="s">
        <v>52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4" t="s">
        <v>51</v>
      </c>
      <c r="R1" s="55"/>
      <c r="S1" s="56"/>
    </row>
    <row r="2" spans="1:19" x14ac:dyDescent="0.25">
      <c r="A2" s="60"/>
      <c r="B2" s="18" t="s">
        <v>37</v>
      </c>
      <c r="C2" s="77" t="s">
        <v>27</v>
      </c>
      <c r="D2" s="78"/>
      <c r="E2" s="78"/>
      <c r="F2" s="78"/>
      <c r="G2" s="78"/>
      <c r="H2" s="44"/>
      <c r="I2" s="79"/>
      <c r="J2" s="77" t="s">
        <v>28</v>
      </c>
      <c r="K2" s="78"/>
      <c r="L2" s="78"/>
      <c r="M2" s="78"/>
      <c r="N2" s="79"/>
      <c r="O2" s="29" t="s">
        <v>47</v>
      </c>
      <c r="P2" s="70" t="s">
        <v>35</v>
      </c>
      <c r="Q2" s="71"/>
      <c r="R2" s="71"/>
      <c r="S2" s="72"/>
    </row>
    <row r="3" spans="1:19" x14ac:dyDescent="0.25">
      <c r="A3" s="60"/>
      <c r="B3" s="57" t="s">
        <v>38</v>
      </c>
      <c r="C3" s="62" t="s">
        <v>43</v>
      </c>
      <c r="D3" s="49"/>
      <c r="E3" s="49"/>
      <c r="F3" s="49"/>
      <c r="G3" s="49" t="s">
        <v>38</v>
      </c>
      <c r="H3" s="49" t="s">
        <v>39</v>
      </c>
      <c r="I3" s="73" t="s">
        <v>50</v>
      </c>
      <c r="J3" s="77" t="s">
        <v>33</v>
      </c>
      <c r="K3" s="78"/>
      <c r="L3" s="78"/>
      <c r="M3" s="44" t="s">
        <v>34</v>
      </c>
      <c r="N3" s="45"/>
      <c r="O3" s="46" t="s">
        <v>31</v>
      </c>
      <c r="P3" s="70" t="s">
        <v>29</v>
      </c>
      <c r="Q3" s="71"/>
      <c r="R3" s="68" t="s">
        <v>30</v>
      </c>
      <c r="S3" s="69"/>
    </row>
    <row r="4" spans="1:19" x14ac:dyDescent="0.25">
      <c r="A4" s="60"/>
      <c r="B4" s="57"/>
      <c r="C4" s="62" t="s">
        <v>44</v>
      </c>
      <c r="D4" s="49"/>
      <c r="E4" s="49" t="s">
        <v>45</v>
      </c>
      <c r="F4" s="49"/>
      <c r="G4" s="49"/>
      <c r="H4" s="49"/>
      <c r="I4" s="73"/>
      <c r="J4" s="62" t="s">
        <v>29</v>
      </c>
      <c r="K4" s="49" t="s">
        <v>30</v>
      </c>
      <c r="L4" s="42" t="s">
        <v>37</v>
      </c>
      <c r="M4" s="49" t="s">
        <v>31</v>
      </c>
      <c r="N4" s="80" t="s">
        <v>32</v>
      </c>
      <c r="O4" s="47"/>
      <c r="P4" s="62" t="s">
        <v>36</v>
      </c>
      <c r="Q4" s="75" t="s">
        <v>53</v>
      </c>
      <c r="R4" s="63" t="s">
        <v>38</v>
      </c>
      <c r="S4" s="65" t="s">
        <v>39</v>
      </c>
    </row>
    <row r="5" spans="1:19" ht="15.75" thickBot="1" x14ac:dyDescent="0.3">
      <c r="A5" s="61"/>
      <c r="B5" s="58"/>
      <c r="C5" s="13" t="s">
        <v>41</v>
      </c>
      <c r="D5" s="9" t="s">
        <v>42</v>
      </c>
      <c r="E5" s="9" t="s">
        <v>41</v>
      </c>
      <c r="F5" s="9" t="s">
        <v>42</v>
      </c>
      <c r="G5" s="50"/>
      <c r="H5" s="50"/>
      <c r="I5" s="74"/>
      <c r="J5" s="67"/>
      <c r="K5" s="50"/>
      <c r="L5" s="43"/>
      <c r="M5" s="50"/>
      <c r="N5" s="81"/>
      <c r="O5" s="48"/>
      <c r="P5" s="67"/>
      <c r="Q5" s="76"/>
      <c r="R5" s="64"/>
      <c r="S5" s="66"/>
    </row>
    <row r="6" spans="1:19" ht="15.75" thickTop="1" x14ac:dyDescent="0.25">
      <c r="A6" s="30" t="s">
        <v>21</v>
      </c>
      <c r="B6" s="23"/>
      <c r="C6" s="14" t="s">
        <v>46</v>
      </c>
      <c r="D6" s="11"/>
      <c r="E6" s="11"/>
      <c r="F6" s="11"/>
      <c r="G6" s="11" t="s">
        <v>48</v>
      </c>
      <c r="H6" s="11"/>
      <c r="I6" s="23"/>
      <c r="J6" s="14"/>
      <c r="K6" s="11"/>
      <c r="L6" s="11"/>
      <c r="M6" s="11"/>
      <c r="N6" s="15"/>
      <c r="O6" s="26"/>
      <c r="P6" s="14"/>
      <c r="Q6" s="11"/>
      <c r="R6" s="10" t="s">
        <v>49</v>
      </c>
      <c r="S6" s="15"/>
    </row>
    <row r="7" spans="1:19" x14ac:dyDescent="0.25">
      <c r="A7" s="31" t="s">
        <v>22</v>
      </c>
      <c r="B7" s="24"/>
      <c r="C7" s="16"/>
      <c r="D7" s="8"/>
      <c r="E7" s="8"/>
      <c r="F7" s="8" t="s">
        <v>46</v>
      </c>
      <c r="G7" s="8"/>
      <c r="H7" s="8" t="s">
        <v>48</v>
      </c>
      <c r="I7" s="24"/>
      <c r="J7" s="16"/>
      <c r="K7" s="8"/>
      <c r="L7" s="8"/>
      <c r="M7" s="8"/>
      <c r="N7" s="17"/>
      <c r="O7" s="27"/>
      <c r="P7" s="16"/>
      <c r="Q7" s="8"/>
      <c r="R7" s="12"/>
      <c r="S7" s="17" t="s">
        <v>49</v>
      </c>
    </row>
    <row r="8" spans="1:19" x14ac:dyDescent="0.25">
      <c r="A8" s="31" t="s">
        <v>23</v>
      </c>
      <c r="B8" s="24" t="s">
        <v>48</v>
      </c>
      <c r="C8" s="16" t="s">
        <v>46</v>
      </c>
      <c r="D8" s="8" t="s">
        <v>46</v>
      </c>
      <c r="E8" s="8" t="s">
        <v>46</v>
      </c>
      <c r="F8" s="8" t="s">
        <v>46</v>
      </c>
      <c r="G8" s="8"/>
      <c r="H8" s="8" t="s">
        <v>48</v>
      </c>
      <c r="I8" s="24"/>
      <c r="J8" s="16"/>
      <c r="K8" s="8"/>
      <c r="L8" s="8"/>
      <c r="M8" s="8"/>
      <c r="N8" s="17"/>
      <c r="O8" s="27"/>
      <c r="P8" s="16" t="s">
        <v>46</v>
      </c>
      <c r="Q8" s="8" t="s">
        <v>49</v>
      </c>
      <c r="R8" s="12"/>
      <c r="S8" s="17" t="s">
        <v>49</v>
      </c>
    </row>
    <row r="9" spans="1:19" x14ac:dyDescent="0.25">
      <c r="A9" s="31" t="s">
        <v>24</v>
      </c>
      <c r="B9" s="24"/>
      <c r="C9" s="16"/>
      <c r="D9" s="8" t="s">
        <v>46</v>
      </c>
      <c r="E9" s="8" t="s">
        <v>46</v>
      </c>
      <c r="F9" s="8"/>
      <c r="G9" s="8" t="s">
        <v>48</v>
      </c>
      <c r="H9" s="8" t="s">
        <v>48</v>
      </c>
      <c r="I9" s="24"/>
      <c r="J9" s="16" t="s">
        <v>46</v>
      </c>
      <c r="K9" s="8"/>
      <c r="L9" s="8"/>
      <c r="M9" s="8" t="s">
        <v>46</v>
      </c>
      <c r="N9" s="17"/>
      <c r="O9" s="27"/>
      <c r="P9" s="16"/>
      <c r="Q9" s="8"/>
      <c r="R9" s="12" t="s">
        <v>49</v>
      </c>
      <c r="S9" s="17" t="s">
        <v>49</v>
      </c>
    </row>
    <row r="10" spans="1:19" ht="15.75" thickBot="1" x14ac:dyDescent="0.3">
      <c r="A10" s="32" t="s">
        <v>25</v>
      </c>
      <c r="B10" s="25"/>
      <c r="C10" s="19" t="s">
        <v>54</v>
      </c>
      <c r="D10" s="20" t="s">
        <v>46</v>
      </c>
      <c r="E10" s="20" t="s">
        <v>46</v>
      </c>
      <c r="F10" s="20" t="s">
        <v>54</v>
      </c>
      <c r="G10" s="20" t="s">
        <v>48</v>
      </c>
      <c r="H10" s="20" t="s">
        <v>48</v>
      </c>
      <c r="I10" s="25" t="s">
        <v>46</v>
      </c>
      <c r="J10" s="19" t="s">
        <v>46</v>
      </c>
      <c r="K10" s="20" t="s">
        <v>46</v>
      </c>
      <c r="L10" s="20" t="s">
        <v>46</v>
      </c>
      <c r="M10" s="20"/>
      <c r="N10" s="21" t="s">
        <v>46</v>
      </c>
      <c r="O10" s="28" t="s">
        <v>46</v>
      </c>
      <c r="P10" s="19"/>
      <c r="Q10" s="20"/>
      <c r="R10" s="22" t="s">
        <v>49</v>
      </c>
      <c r="S10" s="21" t="s">
        <v>49</v>
      </c>
    </row>
    <row r="11" spans="1:19" ht="31.5" customHeight="1" thickTop="1" x14ac:dyDescent="0.25">
      <c r="A11" s="41" t="s">
        <v>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</row>
  </sheetData>
  <mergeCells count="28">
    <mergeCell ref="C2:I2"/>
    <mergeCell ref="J2:N2"/>
    <mergeCell ref="J3:L3"/>
    <mergeCell ref="P3:Q3"/>
    <mergeCell ref="K4:K5"/>
    <mergeCell ref="M4:M5"/>
    <mergeCell ref="N4:N5"/>
    <mergeCell ref="B1:P1"/>
    <mergeCell ref="Q1:S1"/>
    <mergeCell ref="B3:B5"/>
    <mergeCell ref="A1:A5"/>
    <mergeCell ref="C4:D4"/>
    <mergeCell ref="E4:F4"/>
    <mergeCell ref="C3:F3"/>
    <mergeCell ref="R4:R5"/>
    <mergeCell ref="S4:S5"/>
    <mergeCell ref="P4:P5"/>
    <mergeCell ref="R3:S3"/>
    <mergeCell ref="P2:S2"/>
    <mergeCell ref="G3:G5"/>
    <mergeCell ref="I3:I5"/>
    <mergeCell ref="Q4:Q5"/>
    <mergeCell ref="J4:J5"/>
    <mergeCell ref="A11:S11"/>
    <mergeCell ref="L4:L5"/>
    <mergeCell ref="M3:N3"/>
    <mergeCell ref="O3:O5"/>
    <mergeCell ref="H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 case</vt:lpstr>
      <vt:lpstr>Sheet3</vt:lpstr>
      <vt:lpstr>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Cooper</dc:creator>
  <cp:lastModifiedBy>Paul Cooper</cp:lastModifiedBy>
  <dcterms:created xsi:type="dcterms:W3CDTF">2026-02-11T22:12:50Z</dcterms:created>
  <dcterms:modified xsi:type="dcterms:W3CDTF">2026-02-25T20:10:18Z</dcterms:modified>
</cp:coreProperties>
</file>